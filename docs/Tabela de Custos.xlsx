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olha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<sst xmlns="http://schemas.openxmlformats.org/spreadsheetml/2006/main" count="13" uniqueCount="13">
  <si>
    <t xml:space="preserve">QTDE PESSOAS</t>
  </si>
  <si>
    <t>DISTANCIA</t>
  </si>
  <si>
    <t>DIVISAS</t>
  </si>
  <si>
    <t xml:space="preserve">DIARIA MOTORISTA</t>
  </si>
  <si>
    <t>TAXA</t>
  </si>
  <si>
    <t>QTDE_PESSOAS_ONIBUS</t>
  </si>
  <si>
    <t>QTDE_CARROS</t>
  </si>
  <si>
    <t>QTDE_ONIBUS</t>
  </si>
  <si>
    <t xml:space="preserve">PREÇO CARRO</t>
  </si>
  <si>
    <t xml:space="preserve">PREÇO ONIBUS</t>
  </si>
  <si>
    <t>OBS</t>
  </si>
  <si>
    <t xml:space="preserve">Antes do selo</t>
  </si>
  <si>
    <t xml:space="preserve">Depois do selo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</si>
</sst>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R$-416]\ #,##0.00"/>
  </numFmts>
  <fonts count="1">
    <font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0" fillId="0" borderId="0" numFmtId="164" xfId="0" applyNumberFormat="1"/>
    <xf fontId="0" fillId="0" borderId="0" numFmtId="1" xfId="0" applyNumberFormat="1"/>
    <xf fontId="0" fillId="2" borderId="0" numFmtId="0" xfId="0" applyFill="1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3.28125"/>
    <col bestFit="1" min="2" max="2" width="13.62109375"/>
    <col bestFit="1" min="4" max="4" width="25.51171875"/>
    <col bestFit="1" min="5" max="5" width="10.65234375"/>
    <col bestFit="1" min="6" max="6" width="21.62109375"/>
    <col bestFit="1" min="7" max="7" width="13.40234375"/>
    <col bestFit="1" min="8" max="8" width="13.171875"/>
    <col bestFit="1" min="9" max="9" width="12.94140625"/>
    <col bestFit="1" min="10" max="10" width="13.62109375"/>
    <col bestFit="1" customWidth="1" min="11" max="11" width="13.17187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ht="14.25">
      <c r="A2">
        <v>24</v>
      </c>
      <c r="B2">
        <v>43</v>
      </c>
      <c r="C2">
        <v>3</v>
      </c>
      <c r="D2" s="1">
        <v>250</v>
      </c>
      <c r="E2" s="1">
        <v>1000</v>
      </c>
      <c r="F2">
        <v>12</v>
      </c>
      <c r="G2" s="2">
        <f>A2/4</f>
        <v>6</v>
      </c>
      <c r="H2" s="2">
        <f>QUOTIENT(A2,F2)</f>
        <v>2</v>
      </c>
      <c r="I2" s="1">
        <f>G2*D2</f>
        <v>1500</v>
      </c>
      <c r="J2" s="1">
        <f>E2*C2+H2*D2</f>
        <v>3500</v>
      </c>
      <c r="K2" s="3" t="s">
        <v>11</v>
      </c>
    </row>
    <row r="3" ht="14.25">
      <c r="A3" s="4">
        <v>24</v>
      </c>
      <c r="B3" s="4">
        <v>43</v>
      </c>
      <c r="C3" s="4">
        <v>1</v>
      </c>
      <c r="D3" s="1">
        <v>250</v>
      </c>
      <c r="E3" s="1">
        <v>500</v>
      </c>
      <c r="F3" s="4">
        <v>12</v>
      </c>
      <c r="G3" s="2">
        <f>A3/4</f>
        <v>6</v>
      </c>
      <c r="H3" s="2">
        <f>QUOTIENT(A3,F3)</f>
        <v>2</v>
      </c>
      <c r="I3" s="1">
        <f>G3*D3</f>
        <v>1500</v>
      </c>
      <c r="J3" s="1">
        <f>E3*C3+H3*D3</f>
        <v>1000</v>
      </c>
      <c r="K3" s="3" t="s">
        <v>12</v>
      </c>
    </row>
  </sheetData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</cp:revision>
  <dcterms:modified xsi:type="dcterms:W3CDTF">2025-10-31T23:07:41Z</dcterms:modified>
</cp:coreProperties>
</file>